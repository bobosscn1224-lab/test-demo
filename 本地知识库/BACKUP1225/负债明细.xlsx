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Sheet1!$A$1:$C$18</definedName>
  </definedNames>
  <calcPr calcId="152511"/>
</workbook>
</file>

<file path=xl/calcChain.xml><?xml version="1.0" encoding="utf-8"?>
<calcChain xmlns="http://schemas.openxmlformats.org/spreadsheetml/2006/main">
  <c r="B8" i="1" l="1"/>
  <c r="B11" i="1"/>
  <c r="B12" i="1"/>
  <c r="B15" i="1"/>
  <c r="B14" i="1" l="1"/>
  <c r="B18" i="1" s="1"/>
</calcChain>
</file>

<file path=xl/sharedStrings.xml><?xml version="1.0" encoding="utf-8"?>
<sst xmlns="http://schemas.openxmlformats.org/spreadsheetml/2006/main" count="32" uniqueCount="30">
  <si>
    <t>度小满</t>
    <phoneticPr fontId="1" type="noConversion"/>
  </si>
  <si>
    <t>奇富</t>
    <phoneticPr fontId="1" type="noConversion"/>
  </si>
  <si>
    <t>微粒贷</t>
    <phoneticPr fontId="1" type="noConversion"/>
  </si>
  <si>
    <t>招联</t>
    <phoneticPr fontId="1" type="noConversion"/>
  </si>
  <si>
    <t>闪电贷</t>
    <phoneticPr fontId="1" type="noConversion"/>
  </si>
  <si>
    <t>工行</t>
    <phoneticPr fontId="1" type="noConversion"/>
  </si>
  <si>
    <t>工行分期</t>
    <phoneticPr fontId="1" type="noConversion"/>
  </si>
  <si>
    <t>京东</t>
    <phoneticPr fontId="1" type="noConversion"/>
  </si>
  <si>
    <t>董鹏</t>
    <phoneticPr fontId="1" type="noConversion"/>
  </si>
  <si>
    <t>小房子</t>
    <phoneticPr fontId="1" type="noConversion"/>
  </si>
  <si>
    <t>小房子</t>
    <phoneticPr fontId="1" type="noConversion"/>
  </si>
  <si>
    <t>门头沟</t>
    <phoneticPr fontId="1" type="noConversion"/>
  </si>
  <si>
    <t>中信分期</t>
    <phoneticPr fontId="1" type="noConversion"/>
  </si>
  <si>
    <t>建设银行信用卡</t>
    <phoneticPr fontId="1" type="noConversion"/>
  </si>
  <si>
    <t>机构</t>
    <phoneticPr fontId="1" type="noConversion"/>
  </si>
  <si>
    <t>欠款</t>
    <phoneticPr fontId="1" type="noConversion"/>
  </si>
  <si>
    <t>e招贷</t>
    <phoneticPr fontId="1" type="noConversion"/>
  </si>
  <si>
    <t>机构负债总额</t>
    <phoneticPr fontId="1" type="noConversion"/>
  </si>
  <si>
    <t>最终</t>
    <phoneticPr fontId="1" type="noConversion"/>
  </si>
  <si>
    <t>小贷</t>
    <phoneticPr fontId="1" type="noConversion"/>
  </si>
  <si>
    <t>类型</t>
    <phoneticPr fontId="1" type="noConversion"/>
  </si>
  <si>
    <t>小贷</t>
    <phoneticPr fontId="1" type="noConversion"/>
  </si>
  <si>
    <t>小贷</t>
    <phoneticPr fontId="1" type="noConversion"/>
  </si>
  <si>
    <t>银行</t>
    <phoneticPr fontId="1" type="noConversion"/>
  </si>
  <si>
    <t>银行</t>
    <phoneticPr fontId="1" type="noConversion"/>
  </si>
  <si>
    <t>信用卡</t>
    <phoneticPr fontId="1" type="noConversion"/>
  </si>
  <si>
    <t>信用卡</t>
    <phoneticPr fontId="1" type="noConversion"/>
  </si>
  <si>
    <t>信用卡</t>
    <phoneticPr fontId="1" type="noConversion"/>
  </si>
  <si>
    <t>个人</t>
    <phoneticPr fontId="1" type="noConversion"/>
  </si>
  <si>
    <t>小贷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</si>
</sst>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F14" sqref="F14"/>
    </sheetView>
  </sheetViews>
  <sheetFormatPr defaultRowHeight="14.4" x14ac:dyDescent="0.25"/>
  <cols>
    <col min="1" max="1" width="19.6640625" customWidth="1"/>
    <col min="2" max="2" width="19.44140625" customWidth="1"/>
    <col min="3" max="3" width="27.21875" customWidth="1"/>
  </cols>
  <sheetData>
    <row r="1" spans="1:3" x14ac:dyDescent="0.25">
      <c r="A1" s="1" t="s">
        <v>14</v>
      </c>
      <c r="B1" s="1" t="s">
        <v>15</v>
      </c>
      <c r="C1" s="3" t="s">
        <v>20</v>
      </c>
    </row>
    <row r="2" spans="1:3" x14ac:dyDescent="0.25">
      <c r="A2" s="2" t="s">
        <v>0</v>
      </c>
      <c r="B2" s="2">
        <v>-283483</v>
      </c>
      <c r="C2" s="2" t="s">
        <v>19</v>
      </c>
    </row>
    <row r="3" spans="1:3" x14ac:dyDescent="0.25">
      <c r="A3" s="2" t="s">
        <v>1</v>
      </c>
      <c r="B3" s="2">
        <v>-98272</v>
      </c>
      <c r="C3" s="2" t="s">
        <v>21</v>
      </c>
    </row>
    <row r="4" spans="1:3" x14ac:dyDescent="0.25">
      <c r="A4" s="2" t="s">
        <v>2</v>
      </c>
      <c r="B4" s="2">
        <v>-187217</v>
      </c>
      <c r="C4" s="2" t="s">
        <v>22</v>
      </c>
    </row>
    <row r="5" spans="1:3" x14ac:dyDescent="0.25">
      <c r="A5" s="2" t="s">
        <v>3</v>
      </c>
      <c r="B5" s="2">
        <v>-112246</v>
      </c>
      <c r="C5" s="2" t="s">
        <v>29</v>
      </c>
    </row>
    <row r="6" spans="1:3" x14ac:dyDescent="0.25">
      <c r="A6" s="2" t="s">
        <v>4</v>
      </c>
      <c r="B6" s="2">
        <v>-200000</v>
      </c>
      <c r="C6" s="2" t="s">
        <v>23</v>
      </c>
    </row>
    <row r="7" spans="1:3" x14ac:dyDescent="0.25">
      <c r="A7" s="2" t="s">
        <v>5</v>
      </c>
      <c r="B7" s="2">
        <v>-58333</v>
      </c>
      <c r="C7" s="2" t="s">
        <v>24</v>
      </c>
    </row>
    <row r="8" spans="1:3" x14ac:dyDescent="0.25">
      <c r="A8" s="2" t="s">
        <v>6</v>
      </c>
      <c r="B8" s="2">
        <f>-(20000+23691+17415+36735+52406)</f>
        <v>-150247</v>
      </c>
      <c r="C8" s="2" t="s">
        <v>25</v>
      </c>
    </row>
    <row r="9" spans="1:3" x14ac:dyDescent="0.25">
      <c r="A9" s="2" t="s">
        <v>7</v>
      </c>
      <c r="B9" s="2">
        <v>-79000</v>
      </c>
      <c r="C9" s="2" t="s">
        <v>21</v>
      </c>
    </row>
    <row r="10" spans="1:3" x14ac:dyDescent="0.25">
      <c r="A10" s="2" t="s">
        <v>16</v>
      </c>
      <c r="B10" s="2">
        <v>-40000</v>
      </c>
      <c r="C10" s="2" t="s">
        <v>26</v>
      </c>
    </row>
    <row r="11" spans="1:3" x14ac:dyDescent="0.25">
      <c r="A11" s="2" t="s">
        <v>12</v>
      </c>
      <c r="B11" s="2">
        <f>-(27000+31000+30000+32000+37800)</f>
        <v>-157800</v>
      </c>
      <c r="C11" s="2" t="s">
        <v>27</v>
      </c>
    </row>
    <row r="12" spans="1:3" x14ac:dyDescent="0.25">
      <c r="A12" s="2" t="s">
        <v>13</v>
      </c>
      <c r="B12" s="2">
        <f>-(86000-45864)</f>
        <v>-40136</v>
      </c>
      <c r="C12" s="2" t="s">
        <v>26</v>
      </c>
    </row>
    <row r="13" spans="1:3" x14ac:dyDescent="0.25">
      <c r="A13" s="2" t="s">
        <v>8</v>
      </c>
      <c r="B13" s="2">
        <v>-200000</v>
      </c>
      <c r="C13" s="2" t="s">
        <v>28</v>
      </c>
    </row>
    <row r="14" spans="1:3" x14ac:dyDescent="0.25">
      <c r="A14" s="3" t="s">
        <v>17</v>
      </c>
      <c r="B14" s="2">
        <f>SUM(B2:B13)</f>
        <v>-1606734</v>
      </c>
      <c r="C14" s="2"/>
    </row>
    <row r="15" spans="1:3" x14ac:dyDescent="0.25">
      <c r="A15" s="2" t="s">
        <v>9</v>
      </c>
      <c r="B15" s="2">
        <f>-(13351+77040+50776+40946+35918+35176+35754+57247+43731+37032+33485+46842+47787+7570)</f>
        <v>-562655</v>
      </c>
      <c r="C15" s="2"/>
    </row>
    <row r="16" spans="1:3" x14ac:dyDescent="0.25">
      <c r="A16" s="2" t="s">
        <v>10</v>
      </c>
      <c r="B16" s="2">
        <v>1100000</v>
      </c>
      <c r="C16" s="2"/>
    </row>
    <row r="17" spans="1:3" x14ac:dyDescent="0.25">
      <c r="A17" s="2" t="s">
        <v>11</v>
      </c>
      <c r="B17" s="2">
        <v>700000</v>
      </c>
      <c r="C17" s="2"/>
    </row>
    <row r="18" spans="1:3" x14ac:dyDescent="0.25">
      <c r="A18" s="3" t="s">
        <v>18</v>
      </c>
      <c r="B18" s="2">
        <f>SUM(B14:B17)</f>
        <v>-369389</v>
      </c>
      <c r="C18" s="2"/>
    </row>
  </sheetData>
  <autoFilter ref="A1:C18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2025-11-06T03:23:31Z</dcterms:modified>
</cp:coreProperties>
</file>